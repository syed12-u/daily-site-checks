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/>
  <xr:revisionPtr revIDLastSave="0" documentId="11_8DF43DE7C2FC35D3D653BE3B93CAEB61B622FE21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est Cases" sheetId="1" r:id="rId1"/>
    <sheet name="Site Coverage" sheetId="2" r:id="rId2"/>
    <sheet name="Summary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" i="3" l="1"/>
  <c r="E7" i="3"/>
  <c r="D7" i="3"/>
  <c r="C7" i="3"/>
  <c r="B7" i="3"/>
  <c r="F6" i="3"/>
  <c r="E6" i="3"/>
  <c r="D6" i="3"/>
  <c r="C6" i="3"/>
  <c r="B6" i="3"/>
  <c r="F5" i="3"/>
  <c r="E5" i="3"/>
  <c r="D5" i="3"/>
  <c r="C5" i="3"/>
  <c r="B5" i="3"/>
  <c r="F4" i="3"/>
  <c r="E4" i="3"/>
  <c r="D4" i="3"/>
  <c r="C4" i="3"/>
  <c r="B4" i="3"/>
  <c r="F3" i="3"/>
  <c r="E3" i="3"/>
  <c r="D3" i="3"/>
  <c r="C3" i="3"/>
  <c r="B3" i="3"/>
  <c r="F2" i="3"/>
  <c r="E2" i="3"/>
  <c r="D2" i="3"/>
  <c r="C2" i="3"/>
  <c r="B2" i="3"/>
  <c r="E8" i="3" l="1"/>
  <c r="B8" i="3"/>
  <c r="D8" i="3"/>
  <c r="F8" i="3"/>
  <c r="C8" i="3"/>
</calcChain>
</file>

<file path=xl/sharedStrings.xml><?xml version="1.0" encoding="utf-8"?>
<sst xmlns="http://schemas.openxmlformats.org/spreadsheetml/2006/main" count="574" uniqueCount="286">
  <si>
    <t>TC ID</t>
  </si>
  <si>
    <t>Family</t>
  </si>
  <si>
    <t>Test case</t>
  </si>
  <si>
    <t>Sites</t>
  </si>
  <si>
    <t>Viewport</t>
  </si>
  <si>
    <t>Preconditions / config</t>
  </si>
  <si>
    <t>Steps</t>
  </si>
  <si>
    <t>Expected result (pass condition)</t>
  </si>
  <si>
    <t>Severity on fail</t>
  </si>
  <si>
    <t>Reported</t>
  </si>
  <si>
    <t>Test file</t>
  </si>
  <si>
    <t>Status</t>
  </si>
  <si>
    <t>AV-01</t>
  </si>
  <si>
    <t>Availability</t>
  </si>
  <si>
    <t>Homepage responds</t>
  </si>
  <si>
    <t>All 4 sites</t>
  </si>
  <si>
    <t>HTTP only (no browser)</t>
  </si>
  <si>
    <t>None</t>
  </si>
  <si>
    <t>1. GET the homepage over HTTPS, follow redirects.
2. Measure response time.</t>
  </si>
  <si>
    <t>HTTP 200, final URL is https, response within 5 s</t>
  </si>
  <si>
    <t>Critical</t>
  </si>
  <si>
    <t>Immediate alert, repeats hourly until fixed</t>
  </si>
  <si>
    <t>tests/availability.spec.js</t>
  </si>
  <si>
    <t>Automated</t>
  </si>
  <si>
    <t>AV-02</t>
  </si>
  <si>
    <t>Key pages respond</t>
  </si>
  <si>
    <t>Page list in config/sites.js</t>
  </si>
  <si>
    <t>1. GET every page in the site page list.
2. Compare status to expected (200 or configured redirect).</t>
  </si>
  <si>
    <t>Every page returns 200 (or its expected redirect target)</t>
  </si>
  <si>
    <t>Critical if more than 1 page fails, High if 1</t>
  </si>
  <si>
    <t>Immediate alert</t>
  </si>
  <si>
    <t>AV-03</t>
  </si>
  <si>
    <t>www / non-www and http to https redirects</t>
  </si>
  <si>
    <t>Canonical host in config</t>
  </si>
  <si>
    <t>1. Request http://apex, http://www, https://alternate host.
2. Follow the redirect chain.</t>
  </si>
  <si>
    <t>All three end at the canonical https URL with 200; every hop is a 301 or 308</t>
  </si>
  <si>
    <t>High</t>
  </si>
  <si>
    <t>Immediate alert (once)</t>
  </si>
  <si>
    <t>AV-04</t>
  </si>
  <si>
    <t>TLS certificate valid</t>
  </si>
  <si>
    <t>1. Open a TLS connection to the host on 443.
2. Read certificate chain and expiry.</t>
  </si>
  <si>
    <t>Chain trusted; expiry more than 14 days away</t>
  </si>
  <si>
    <t>Critical if expired or untrusted, High if under 14 days</t>
  </si>
  <si>
    <t>AV-05</t>
  </si>
  <si>
    <t>DNS resolves and is unchanged</t>
  </si>
  <si>
    <t>state/dns.json baseline captured on first run</t>
  </si>
  <si>
    <t>1. Resolve A and AAAA records.
2. Compare with the stored records.</t>
  </si>
  <si>
    <t>Records resolve; no IP outside the known set (approve a planned change with npm run approve &lt;site&gt; dns)</t>
  </si>
  <si>
    <t>Immediate alert, repeats hourly</t>
  </si>
  <si>
    <t>AV-06</t>
  </si>
  <si>
    <t>Custom 404 page</t>
  </si>
  <si>
    <t>1. GET a random non-existent URL.
2. Inspect status and body.</t>
  </si>
  <si>
    <t>404 status with the branded error page, not a blank server page</t>
  </si>
  <si>
    <t>Low</t>
  </si>
  <si>
    <t>Daily summary</t>
  </si>
  <si>
    <t>AV-07</t>
  </si>
  <si>
    <t>robots.txt and sitemap.xml</t>
  </si>
  <si>
    <t>1. GET /robots.txt.
2. Parse User-agent * block.
3. GET declared sitemap (or default paths) and parse.</t>
  </si>
  <si>
    <t>Both return 200; robots does not block the whole site; sitemap contains urlset or sitemapindex</t>
  </si>
  <si>
    <t>Medium</t>
  </si>
  <si>
    <t>AV-08</t>
  </si>
  <si>
    <t>Every sitemap URL responds</t>
  </si>
  <si>
    <t>SITEMAP_MAX (6000) and SITEMAP_CONCURRENCY (12) in .env</t>
  </si>
  <si>
    <t>1. Read all sitemap files (index and children).
2. HEAD every URL, GET on 405/5xx/timeouts, 12 in parallel.
3. Save the full list with statuses.</t>
  </si>
  <si>
    <t>Zero URLs with status 0 or 4xx/5xx</t>
  </si>
  <si>
    <t>High if 10+ or over 1% broken, else Medium</t>
  </si>
  <si>
    <t>Immediate alert or daily summary</t>
  </si>
  <si>
    <t>tests/sitemap.spec.js</t>
  </si>
  <si>
    <t>FN-01</t>
  </si>
  <si>
    <t>Functionality</t>
  </si>
  <si>
    <t>Every homepage link works</t>
  </si>
  <si>
    <t>Desktop 1440x900</t>
  </si>
  <si>
    <t>1. Open homepage, accept cookies.
2. Collect every visible link (nav, footer, content), skip consent dialogs.
3. Request each (internal first), up to 150.</t>
  </si>
  <si>
    <t>Internal links 200-399; external reachable (any response, incl. bot walls 400/401/403/429/999)</t>
  </si>
  <si>
    <t>tests/functionality.spec.js</t>
  </si>
  <si>
    <t>FN-02</t>
  </si>
  <si>
    <t>No broken images</t>
  </si>
  <si>
    <t>Page list</t>
  </si>
  <si>
    <t>1. Open each key page.
2. Scroll to bottom to trigger lazy loading.
3. Check every &lt;img&gt; naturalWidth.</t>
  </si>
  <si>
    <t>No image that finished loading with width 0</t>
  </si>
  <si>
    <t>FN-03</t>
  </si>
  <si>
    <t>Contact form loads</t>
  </si>
  <si>
    <t>contact block in config (page form or HubSpot iframe)</t>
  </si>
  <si>
    <t>1. Open contact page.
2. Find the form with the most expected fields.
3. Check name, email, message fields and submit button are visible.</t>
  </si>
  <si>
    <t>Form visible with all configured fields and a submit button</t>
  </si>
  <si>
    <t>FN-04</t>
  </si>
  <si>
    <t>Contact form submits (test mode)</t>
  </si>
  <si>
    <t>ENABLE_FORM_SUBMIT=true and a test mode per site (hidden field or tagged email)</t>
  </si>
  <si>
    <t>1. Open contact page.
2. Fill fields with test values, set hidden test field.
3. Submit.</t>
  </si>
  <si>
    <t>Success message shown; no 5xx during submit</t>
  </si>
  <si>
    <t>FN-05</t>
  </si>
  <si>
    <t>Search returns results</t>
  </si>
  <si>
    <t>flexoffers.com, incubators.com</t>
  </si>
  <si>
    <t>search block in config</t>
  </si>
  <si>
    <t>1. Open search page.
2. Reveal the search box (click toggle if hidden).
3. Type the known term, press Enter.</t>
  </si>
  <si>
    <t>At least one visible result</t>
  </si>
  <si>
    <t>FN-06</t>
  </si>
  <si>
    <t>Login page rejects invalid credentials</t>
  </si>
  <si>
    <t>flexoffers.com</t>
  </si>
  <si>
    <t>login block in config (publisherpro.flexoffers.com)</t>
  </si>
  <si>
    <t>1. Open login page.
2. Check email and password fields render.
3. Submit a wrong email and password.</t>
  </si>
  <si>
    <t>Error message shown; no 5xx response; no uncaught JS error</t>
  </si>
  <si>
    <t>FN-07</t>
  </si>
  <si>
    <t>Signup / apply pages render</t>
  </si>
  <si>
    <t>signup.publisher and signup.advertiser in config</t>
  </si>
  <si>
    <t>1. Open publisher signup page.
2. Check required fields and submit.
3. Repeat for advertiser page.</t>
  </si>
  <si>
    <t>Both pages load under 400 with required fields and a submit control</t>
  </si>
  <si>
    <t>FN-08</t>
  </si>
  <si>
    <t>Third-party embeds load</t>
  </si>
  <si>
    <t>perhaps, flexoffers, fusetwo</t>
  </si>
  <si>
    <t>embeds list in config (GTM, HubSpot)</t>
  </si>
  <si>
    <t>1. Open homepage.
2. Watch network for each embed pattern.</t>
  </si>
  <si>
    <t>Each expected embed requested and none failed (4xx/5xx or network error)</t>
  </si>
  <si>
    <t>FN-09</t>
  </si>
  <si>
    <t>Primary CTA buttons work</t>
  </si>
  <si>
    <t>ctas selector in config</t>
  </si>
  <si>
    <t>1. Open homepage.
2. Take visible theme buttons outside header/footer (up to 8).
3. Check enabled and request each href.</t>
  </si>
  <si>
    <t>CTAs visible, enabled, with an href that returns 200</t>
  </si>
  <si>
    <t>ER-01</t>
  </si>
  <si>
    <t>Error detection</t>
  </si>
  <si>
    <t>No console / JS errors</t>
  </si>
  <si>
    <t>1. Open each key page with console and pageerror listeners.
2. Ignore known noise (resource 404s, deprecations, storage access).</t>
  </si>
  <si>
    <t>Zero uncaught JS errors and console errors per page</t>
  </si>
  <si>
    <t>tests/errors.spec.js</t>
  </si>
  <si>
    <t>ER-02</t>
  </si>
  <si>
    <t>No failed first-party requests</t>
  </si>
  <si>
    <t>1. Open each key page.
2. Record 4xx/5xx and network failures for first-party URLs.</t>
  </si>
  <si>
    <t>No failed first-party asset or API request</t>
  </si>
  <si>
    <t>ER-03</t>
  </si>
  <si>
    <t>No mixed content</t>
  </si>
  <si>
    <t>1. Open each key page over https.
2. Record http:// requests and http:// src/href in the DOM.</t>
  </si>
  <si>
    <t>No http resource on an https page</t>
  </si>
  <si>
    <t>ER-04</t>
  </si>
  <si>
    <t>No placeholder or error text</t>
  </si>
  <si>
    <t>1. Open each key page.
2. Scan visible text for Lorem ipsum, undefined, null, NaN, [object Object], template braces, PHP/JS errors, stack traces, TODO.</t>
  </si>
  <si>
    <t>No match on any page</t>
  </si>
  <si>
    <t>ER-05</t>
  </si>
  <si>
    <t>Expected content present</t>
  </si>
  <si>
    <t>name/titlePattern, keyPhrases in config</t>
  </si>
  <si>
    <t>1. Open each key page.
2. Homepage: title contains brand; key phrases visible.
3. Every page: non-generic title and at least one H1.</t>
  </si>
  <si>
    <t>All checks pass on all pages</t>
  </si>
  <si>
    <t>ER-06</t>
  </si>
  <si>
    <t>Security headers</t>
  </si>
  <si>
    <t>1. GET homepage.
2. Read response headers.</t>
  </si>
  <si>
    <t>Strict-Transport-Security, X-Content-Type-Options: nosniff, and X-Frame-Options or CSP frame-ancestors present</t>
  </si>
  <si>
    <t>PF-01</t>
  </si>
  <si>
    <t>Performance</t>
  </si>
  <si>
    <t>Time to first byte</t>
  </si>
  <si>
    <t>1. Open homepage.
2. Read Navigation Timing responseStart minus requestStart.</t>
  </si>
  <si>
    <t>TTFB under 800 ms</t>
  </si>
  <si>
    <t>tests/performance.spec.js</t>
  </si>
  <si>
    <t>PF-02</t>
  </si>
  <si>
    <t>Largest Contentful Paint</t>
  </si>
  <si>
    <t>Desktop + Mobile 390x844</t>
  </si>
  <si>
    <t>1. Inject a PerformanceObserver for LCP.
2. Open homepage, wait 2.5 s.
3. Read the last LCP entry.</t>
  </si>
  <si>
    <t>LCP under 2.5 s desktop, under 4 s mobile</t>
  </si>
  <si>
    <t>PF-03</t>
  </si>
  <si>
    <t>Total page weight</t>
  </si>
  <si>
    <t>Previous run in runs/</t>
  </si>
  <si>
    <t>1. Open homepage, sum response body sizes.
2. Compare with previous run.</t>
  </si>
  <si>
    <t>Under 3 MB and not more than 25% heavier than the previous run</t>
  </si>
  <si>
    <t>PF-04</t>
  </si>
  <si>
    <t>Request count</t>
  </si>
  <si>
    <t>1. Open homepage, count requests.
2. Compare with previous run.</t>
  </si>
  <si>
    <t>Not more than 25% more requests than the previous run</t>
  </si>
  <si>
    <t>PF-05</t>
  </si>
  <si>
    <t>Response-time trend</t>
  </si>
  <si>
    <t>3+ days of history in runs/</t>
  </si>
  <si>
    <t>1. GET homepage 3 times, take the median.
2. Compare with the 7-day average of previous runs.</t>
  </si>
  <si>
    <t>Not more than 50% slower than the 7-day average</t>
  </si>
  <si>
    <t>UF-01</t>
  </si>
  <si>
    <t>User flow</t>
  </si>
  <si>
    <t>Visitor to contact</t>
  </si>
  <si>
    <t>contact block; submit only with ENABLE_FORM_SUBMIT=true</t>
  </si>
  <si>
    <t>1. Open homepage.
2. Click "Contact" in the navigation (or go direct).
3. Find the form, fill name, email, message.
4. Submit when test mode is enabled.</t>
  </si>
  <si>
    <t>Form reached and filled; success message when submitted</t>
  </si>
  <si>
    <t>tests/flows.spec.js</t>
  </si>
  <si>
    <t>UF-02</t>
  </si>
  <si>
    <t>Visitor to key landing page</t>
  </si>
  <si>
    <t>ctas selector</t>
  </si>
  <si>
    <t>1. Open homepage.
2. Take the first visible primary CTA.
3. Open its target.</t>
  </si>
  <si>
    <t>Landing page returns 200 with a visible H1 and a CTA (external targets: under 400)</t>
  </si>
  <si>
    <t>UF-03</t>
  </si>
  <si>
    <t>Publisher signup validates</t>
  </si>
  <si>
    <t>signup.publisher</t>
  </si>
  <si>
    <t>1. Open homepage, click "Publishers".
2. Follow a "Sign up" link (or go direct).
3. Check required fields.
4. Submit the empty form.</t>
  </si>
  <si>
    <t>Validation shown (invalid fields, message, or stays on page)</t>
  </si>
  <si>
    <t>UF-04</t>
  </si>
  <si>
    <t>Advertiser signup validates</t>
  </si>
  <si>
    <t>signup.advertiser</t>
  </si>
  <si>
    <t>1. Open homepage, click "Advertisers".
2. Follow a "Sign up / Apply" link (or go direct).
3. Check required fields.
4. Submit the empty form.</t>
  </si>
  <si>
    <t>Validation shown</t>
  </si>
  <si>
    <t>UF-05</t>
  </si>
  <si>
    <t>Login attempt with wrong password</t>
  </si>
  <si>
    <t>login block</t>
  </si>
  <si>
    <t>1. Open login page.
2. Type a wrong email and password, press Login.
3. Check the response.</t>
  </si>
  <si>
    <t>Error message shown; form still usable; no 5xx; no JS error</t>
  </si>
  <si>
    <t>UF-06</t>
  </si>
  <si>
    <t>Browse / search to a result</t>
  </si>
  <si>
    <t>search block with resultLink</t>
  </si>
  <si>
    <t>1. Open homepage (or search page).
2. Search the known term.
3. Open the first result.</t>
  </si>
  <si>
    <t>Result page loads with a heading</t>
  </si>
  <si>
    <t>UF-07</t>
  </si>
  <si>
    <t>Mobile navigation</t>
  </si>
  <si>
    <t>Mobile 390x844</t>
  </si>
  <si>
    <t>nav.mobileToggle and nav.mobileMenu selectors</t>
  </si>
  <si>
    <t>1. Open homepage at mobile size.
2. Tap the hamburger.
3. Tap the first internal link in the menu.</t>
  </si>
  <si>
    <t>Menu opens with links; target page loads with main content</t>
  </si>
  <si>
    <t>VR-01</t>
  </si>
  <si>
    <t>Visual regression</t>
  </si>
  <si>
    <t>Full-page screenshot, desktop</t>
  </si>
  <si>
    <t>Approved baseline in baselines/desktop/&lt;site&gt;/</t>
  </si>
  <si>
    <t>1. Open each key page, accept cookies, freeze animations, scroll for lazy content.
2. Mask dynamic regions.
3. Compare full-page screenshot with baseline.</t>
  </si>
  <si>
    <t>At most 0.2% pixels differ per page</t>
  </si>
  <si>
    <t>High if homepage differs, else Medium</t>
  </si>
  <si>
    <t>Immediate alert / daily summary</t>
  </si>
  <si>
    <t>tests/visual.spec.js</t>
  </si>
  <si>
    <t>VR-02</t>
  </si>
  <si>
    <t>Full-page screenshot, mobile</t>
  </si>
  <si>
    <t>Approved baseline in baselines/mobile/&lt;site&gt;/</t>
  </si>
  <si>
    <t>Same as VR-01 at the mobile viewport.</t>
  </si>
  <si>
    <t>VR-03</t>
  </si>
  <si>
    <t>Above-the-fold hero</t>
  </si>
  <si>
    <t>hero selector (falls back to the first viewport)</t>
  </si>
  <si>
    <t>1. Open homepage.
2. Screenshot the hero region.
3. Compare with baseline.</t>
  </si>
  <si>
    <t>At most 0.1% pixels differ</t>
  </si>
  <si>
    <t>VR-04</t>
  </si>
  <si>
    <t>Header and footer components</t>
  </si>
  <si>
    <t>header/footer selectors</t>
  </si>
  <si>
    <t>1. Open each key page.
2. Screenshot header and footer.
3. Compare with baseline.</t>
  </si>
  <si>
    <t>Zero pixel difference</t>
  </si>
  <si>
    <t>VR-05</t>
  </si>
  <si>
    <t>Layout shift</t>
  </si>
  <si>
    <t>baselines/layout JSON</t>
  </si>
  <si>
    <t>1. Open each key page.
2. Read bounding boxes of nav, H1, primary CTA, footer.
3. Compare with baseline.</t>
  </si>
  <si>
    <t>No element moved more than 10 px</t>
  </si>
  <si>
    <t>VR-06</t>
  </si>
  <si>
    <t>Text content diff</t>
  </si>
  <si>
    <t>baselines/text JSON</t>
  </si>
  <si>
    <t>1. Open each key page, hide masked regions.
2. Extract visible text lines.
3. Diff against baseline.</t>
  </si>
  <si>
    <t>No added or removed lines (informational)</t>
  </si>
  <si>
    <t>Daily summary (collapsed)</t>
  </si>
  <si>
    <t>VR-07</t>
  </si>
  <si>
    <t>Styling drift</t>
  </si>
  <si>
    <t>styleProbe selectors, baselines/styles JSON</t>
  </si>
  <si>
    <t>1. Open homepage.
2. Read computed font, size, colour of body, H1 and primary button.
3. Compare with baseline.</t>
  </si>
  <si>
    <t>No change from baseline</t>
  </si>
  <si>
    <t>VR-08</t>
  </si>
  <si>
    <t>Missing sections</t>
  </si>
  <si>
    <t>sections selectors</t>
  </si>
  <si>
    <t>1. Open homepage.
2. Check each expected section exists and is non-empty.</t>
  </si>
  <si>
    <t>All sections present with text or media</t>
  </si>
  <si>
    <t>Site</t>
  </si>
  <si>
    <t>Canonical URL</t>
  </si>
  <si>
    <t>Type</t>
  </si>
  <si>
    <t>Pages checked (from sitemap and navigation, 24 Sep 2026)</t>
  </si>
  <si>
    <t>Site-specific checks</t>
  </si>
  <si>
    <t>Notes</t>
  </si>
  <si>
    <t>perhaps.com</t>
  </si>
  <si>
    <t>https://www.perhaps.com</t>
  </si>
  <si>
    <t>Marketing / brand site</t>
  </si>
  <si>
    <t>/, /our-services/, /about-us/, /careers/, /news-events/, /faqs/, /blog/, /contact-us/, /advertiser-sign-up/</t>
  </si>
  <si>
    <t>Contact: /contact-us/ (HubSpot). Embeds: GTM, HubSpot</t>
  </si>
  <si>
    <t>No search, login or signup</t>
  </si>
  <si>
    <t>https://www.flexoffers.com</t>
  </si>
  <si>
    <t>Affiliate network platform</t>
  </si>
  <si>
    <t>/, /publishers/, /advertisers/, /sign-up/, /affiliate-program-directory-list/, /affiliate-program-ranking/, /about-us/, /contact-us/, /flexoffers-support-team/, /blog/</t>
  </si>
  <si>
    <t>Contact: /contact-us/ (Gravity Forms). Search on homepage. Login: https://publisherpro.flexoffers.com/. Signup: /sign-up/ (publisher), /advertisers/ (advertiser). Embeds: GTM, HubSpot. Sitemap: 3,972 URLs</t>
  </si>
  <si>
    <t>Homepage title has no brand name (titlePattern used)</t>
  </si>
  <si>
    <t>fusetwo.com</t>
  </si>
  <si>
    <t>https://www.fusetwo.com</t>
  </si>
  <si>
    <t>Marketing / product site</t>
  </si>
  <si>
    <t>/, /platform/, /brands/, /brands/services/, /brands/industries/, /publishers/, /about-us/, /support/, /help-articles/</t>
  </si>
  <si>
    <t>Embeds: GTM, HubSpot. Sitemap: 73 URLs</t>
  </si>
  <si>
    <t>Contact form page not confirmed (contact checks skipped)</t>
  </si>
  <si>
    <t>incubators.com</t>
  </si>
  <si>
    <t>https://incubators.com</t>
  </si>
  <si>
    <t>Marketing / directory site</t>
  </si>
  <si>
    <t>/, /founder/, /what-we-do/, /companies-built/, /contact-us/</t>
  </si>
  <si>
    <t>Contact: /contact-us/. Search on homepage (WordPress). Sitemap: 12 URLs</t>
  </si>
  <si>
    <t>No GTM/HubSpot detected (FN-08 skipped)</t>
  </si>
  <si>
    <t>Test cases</t>
  </si>
  <si>
    <t>Total</t>
  </si>
  <si>
    <t>Severity counts use the first word of the "Severity on fail" column (conditional severities count under their default).</t>
  </si>
  <si>
    <t>Test instances per daily run: 252 (172 desktop + 80 mobile across 4 sites), plus the hourly homepage ping.</t>
  </si>
  <si>
    <t>Source: config/sites.js and tests/*.spec.js in the daily-site-checks repo, as of 30 Sep 2026.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</si>
</sst>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b/>
      <sz val="10"/>
      <name val="Arial"/>
    </font>
    <font>
      <i/>
      <sz val="10"/>
      <color rgb="FF666666"/>
      <name val="Arial"/>
    </font>
  </fonts>
  <fills count="7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8CBAD"/>
      </patternFill>
    </fill>
    <fill>
      <patternFill patternType="solid">
        <fgColor rgb="FFFFE699"/>
      </patternFill>
    </fill>
    <fill>
      <patternFill patternType="solid">
        <fgColor rgb="FFE2EFDA"/>
      </patternFill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2" fillId="5" borderId="1" xfId="0" applyFont="1" applyFill="1" applyBorder="1" applyAlignment="1">
      <alignment vertical="top" wrapText="1"/>
    </xf>
    <xf numFmtId="0" fontId="2" fillId="6" borderId="1" xfId="0" applyFont="1" applyFill="1" applyBorder="1" applyAlignment="1">
      <alignment vertical="top" wrapText="1"/>
    </xf>
    <xf numFmtId="0" fontId="1" fillId="2" borderId="1" xfId="0" applyFont="1" applyFill="1" applyBorder="1"/>
    <xf numFmtId="0" fontId="2" fillId="0" borderId="1" xfId="0" applyFont="1" applyBorder="1"/>
    <xf numFmtId="0" fontId="3" fillId="0" borderId="1" xfId="0" applyFont="1" applyBorder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4"/>
  <sheetViews>
    <sheetView tabSelected="1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2" max="2" width="16" customWidth="1"/>
    <col min="3" max="3" width="30" customWidth="1"/>
    <col min="4" max="4" width="22" customWidth="1"/>
    <col min="5" max="5" width="20" customWidth="1"/>
    <col min="6" max="6" width="30" customWidth="1"/>
    <col min="7" max="7" width="52" customWidth="1"/>
    <col min="8" max="8" width="44" customWidth="1"/>
    <col min="9" max="11" width="26" customWidth="1"/>
    <col min="12" max="12" width="12" customWidth="1"/>
  </cols>
  <sheetData>
    <row r="1" spans="1:12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25.5" x14ac:dyDescent="0.25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3" t="s">
        <v>20</v>
      </c>
      <c r="J2" s="2" t="s">
        <v>21</v>
      </c>
      <c r="K2" s="2" t="s">
        <v>22</v>
      </c>
      <c r="L2" s="2" t="s">
        <v>23</v>
      </c>
    </row>
    <row r="3" spans="1:12" ht="25.5" x14ac:dyDescent="0.25">
      <c r="A3" s="2" t="s">
        <v>24</v>
      </c>
      <c r="B3" s="2" t="s">
        <v>13</v>
      </c>
      <c r="C3" s="2" t="s">
        <v>25</v>
      </c>
      <c r="D3" s="2" t="s">
        <v>15</v>
      </c>
      <c r="E3" s="2" t="s">
        <v>16</v>
      </c>
      <c r="F3" s="2" t="s">
        <v>26</v>
      </c>
      <c r="G3" s="2" t="s">
        <v>27</v>
      </c>
      <c r="H3" s="2" t="s">
        <v>28</v>
      </c>
      <c r="I3" s="3" t="s">
        <v>29</v>
      </c>
      <c r="J3" s="2" t="s">
        <v>30</v>
      </c>
      <c r="K3" s="2" t="s">
        <v>22</v>
      </c>
      <c r="L3" s="2" t="s">
        <v>23</v>
      </c>
    </row>
    <row r="4" spans="1:12" ht="25.5" x14ac:dyDescent="0.25">
      <c r="A4" s="2" t="s">
        <v>31</v>
      </c>
      <c r="B4" s="2" t="s">
        <v>13</v>
      </c>
      <c r="C4" s="2" t="s">
        <v>32</v>
      </c>
      <c r="D4" s="2" t="s">
        <v>15</v>
      </c>
      <c r="E4" s="2" t="s">
        <v>16</v>
      </c>
      <c r="F4" s="2" t="s">
        <v>33</v>
      </c>
      <c r="G4" s="2" t="s">
        <v>34</v>
      </c>
      <c r="H4" s="2" t="s">
        <v>35</v>
      </c>
      <c r="I4" s="4" t="s">
        <v>36</v>
      </c>
      <c r="J4" s="2" t="s">
        <v>37</v>
      </c>
      <c r="K4" s="2" t="s">
        <v>22</v>
      </c>
      <c r="L4" s="2" t="s">
        <v>23</v>
      </c>
    </row>
    <row r="5" spans="1:12" ht="38.25" x14ac:dyDescent="0.25">
      <c r="A5" s="2" t="s">
        <v>38</v>
      </c>
      <c r="B5" s="2" t="s">
        <v>13</v>
      </c>
      <c r="C5" s="2" t="s">
        <v>39</v>
      </c>
      <c r="D5" s="2" t="s">
        <v>15</v>
      </c>
      <c r="E5" s="2" t="s">
        <v>16</v>
      </c>
      <c r="F5" s="2" t="s">
        <v>17</v>
      </c>
      <c r="G5" s="2" t="s">
        <v>40</v>
      </c>
      <c r="H5" s="2" t="s">
        <v>41</v>
      </c>
      <c r="I5" s="3" t="s">
        <v>42</v>
      </c>
      <c r="J5" s="2" t="s">
        <v>30</v>
      </c>
      <c r="K5" s="2" t="s">
        <v>22</v>
      </c>
      <c r="L5" s="2" t="s">
        <v>23</v>
      </c>
    </row>
    <row r="6" spans="1:12" ht="38.25" x14ac:dyDescent="0.25">
      <c r="A6" s="2" t="s">
        <v>43</v>
      </c>
      <c r="B6" s="2" t="s">
        <v>13</v>
      </c>
      <c r="C6" s="2" t="s">
        <v>44</v>
      </c>
      <c r="D6" s="2" t="s">
        <v>15</v>
      </c>
      <c r="E6" s="2" t="s">
        <v>16</v>
      </c>
      <c r="F6" s="2" t="s">
        <v>45</v>
      </c>
      <c r="G6" s="2" t="s">
        <v>46</v>
      </c>
      <c r="H6" s="2" t="s">
        <v>47</v>
      </c>
      <c r="I6" s="3" t="s">
        <v>20</v>
      </c>
      <c r="J6" s="2" t="s">
        <v>48</v>
      </c>
      <c r="K6" s="2" t="s">
        <v>22</v>
      </c>
      <c r="L6" s="2" t="s">
        <v>23</v>
      </c>
    </row>
    <row r="7" spans="1:12" ht="25.5" x14ac:dyDescent="0.25">
      <c r="A7" s="2" t="s">
        <v>49</v>
      </c>
      <c r="B7" s="2" t="s">
        <v>13</v>
      </c>
      <c r="C7" s="2" t="s">
        <v>50</v>
      </c>
      <c r="D7" s="2" t="s">
        <v>15</v>
      </c>
      <c r="E7" s="2" t="s">
        <v>16</v>
      </c>
      <c r="F7" s="2" t="s">
        <v>17</v>
      </c>
      <c r="G7" s="2" t="s">
        <v>51</v>
      </c>
      <c r="H7" s="2" t="s">
        <v>52</v>
      </c>
      <c r="I7" s="5" t="s">
        <v>53</v>
      </c>
      <c r="J7" s="2" t="s">
        <v>54</v>
      </c>
      <c r="K7" s="2" t="s">
        <v>22</v>
      </c>
      <c r="L7" s="2" t="s">
        <v>23</v>
      </c>
    </row>
    <row r="8" spans="1:12" ht="38.25" x14ac:dyDescent="0.25">
      <c r="A8" s="2" t="s">
        <v>55</v>
      </c>
      <c r="B8" s="2" t="s">
        <v>13</v>
      </c>
      <c r="C8" s="2" t="s">
        <v>56</v>
      </c>
      <c r="D8" s="2" t="s">
        <v>15</v>
      </c>
      <c r="E8" s="2" t="s">
        <v>16</v>
      </c>
      <c r="F8" s="2" t="s">
        <v>17</v>
      </c>
      <c r="G8" s="2" t="s">
        <v>57</v>
      </c>
      <c r="H8" s="2" t="s">
        <v>58</v>
      </c>
      <c r="I8" s="6" t="s">
        <v>59</v>
      </c>
      <c r="J8" s="2" t="s">
        <v>54</v>
      </c>
      <c r="K8" s="2" t="s">
        <v>22</v>
      </c>
      <c r="L8" s="2" t="s">
        <v>23</v>
      </c>
    </row>
    <row r="9" spans="1:12" ht="51" x14ac:dyDescent="0.25">
      <c r="A9" s="2" t="s">
        <v>60</v>
      </c>
      <c r="B9" s="2" t="s">
        <v>13</v>
      </c>
      <c r="C9" s="2" t="s">
        <v>61</v>
      </c>
      <c r="D9" s="2" t="s">
        <v>15</v>
      </c>
      <c r="E9" s="2" t="s">
        <v>16</v>
      </c>
      <c r="F9" s="2" t="s">
        <v>62</v>
      </c>
      <c r="G9" s="2" t="s">
        <v>63</v>
      </c>
      <c r="H9" s="2" t="s">
        <v>64</v>
      </c>
      <c r="I9" s="4" t="s">
        <v>65</v>
      </c>
      <c r="J9" s="2" t="s">
        <v>66</v>
      </c>
      <c r="K9" s="2" t="s">
        <v>67</v>
      </c>
      <c r="L9" s="2" t="s">
        <v>23</v>
      </c>
    </row>
    <row r="10" spans="1:12" ht="51" x14ac:dyDescent="0.25">
      <c r="A10" s="2" t="s">
        <v>68</v>
      </c>
      <c r="B10" s="2" t="s">
        <v>69</v>
      </c>
      <c r="C10" s="2" t="s">
        <v>70</v>
      </c>
      <c r="D10" s="2" t="s">
        <v>15</v>
      </c>
      <c r="E10" s="2" t="s">
        <v>71</v>
      </c>
      <c r="F10" s="2" t="s">
        <v>17</v>
      </c>
      <c r="G10" s="2" t="s">
        <v>72</v>
      </c>
      <c r="H10" s="2" t="s">
        <v>73</v>
      </c>
      <c r="I10" s="4" t="s">
        <v>36</v>
      </c>
      <c r="J10" s="2" t="s">
        <v>37</v>
      </c>
      <c r="K10" s="2" t="s">
        <v>74</v>
      </c>
      <c r="L10" s="2" t="s">
        <v>23</v>
      </c>
    </row>
    <row r="11" spans="1:12" ht="38.25" x14ac:dyDescent="0.25">
      <c r="A11" s="2" t="s">
        <v>75</v>
      </c>
      <c r="B11" s="2" t="s">
        <v>69</v>
      </c>
      <c r="C11" s="2" t="s">
        <v>76</v>
      </c>
      <c r="D11" s="2" t="s">
        <v>15</v>
      </c>
      <c r="E11" s="2" t="s">
        <v>71</v>
      </c>
      <c r="F11" s="2" t="s">
        <v>77</v>
      </c>
      <c r="G11" s="2" t="s">
        <v>78</v>
      </c>
      <c r="H11" s="2" t="s">
        <v>79</v>
      </c>
      <c r="I11" s="6" t="s">
        <v>59</v>
      </c>
      <c r="J11" s="2" t="s">
        <v>54</v>
      </c>
      <c r="K11" s="2" t="s">
        <v>74</v>
      </c>
      <c r="L11" s="2" t="s">
        <v>23</v>
      </c>
    </row>
    <row r="12" spans="1:12" ht="51" x14ac:dyDescent="0.25">
      <c r="A12" s="2" t="s">
        <v>80</v>
      </c>
      <c r="B12" s="2" t="s">
        <v>69</v>
      </c>
      <c r="C12" s="2" t="s">
        <v>81</v>
      </c>
      <c r="D12" s="2" t="s">
        <v>15</v>
      </c>
      <c r="E12" s="2" t="s">
        <v>71</v>
      </c>
      <c r="F12" s="2" t="s">
        <v>82</v>
      </c>
      <c r="G12" s="2" t="s">
        <v>83</v>
      </c>
      <c r="H12" s="2" t="s">
        <v>84</v>
      </c>
      <c r="I12" s="4" t="s">
        <v>36</v>
      </c>
      <c r="J12" s="2" t="s">
        <v>37</v>
      </c>
      <c r="K12" s="2" t="s">
        <v>74</v>
      </c>
      <c r="L12" s="2" t="s">
        <v>23</v>
      </c>
    </row>
    <row r="13" spans="1:12" ht="38.25" x14ac:dyDescent="0.25">
      <c r="A13" s="2" t="s">
        <v>85</v>
      </c>
      <c r="B13" s="2" t="s">
        <v>69</v>
      </c>
      <c r="C13" s="2" t="s">
        <v>86</v>
      </c>
      <c r="D13" s="2" t="s">
        <v>15</v>
      </c>
      <c r="E13" s="2" t="s">
        <v>71</v>
      </c>
      <c r="F13" s="2" t="s">
        <v>87</v>
      </c>
      <c r="G13" s="2" t="s">
        <v>88</v>
      </c>
      <c r="H13" s="2" t="s">
        <v>89</v>
      </c>
      <c r="I13" s="4" t="s">
        <v>36</v>
      </c>
      <c r="J13" s="2" t="s">
        <v>37</v>
      </c>
      <c r="K13" s="2" t="s">
        <v>74</v>
      </c>
      <c r="L13" s="2" t="s">
        <v>23</v>
      </c>
    </row>
    <row r="14" spans="1:12" ht="38.25" x14ac:dyDescent="0.25">
      <c r="A14" s="2" t="s">
        <v>90</v>
      </c>
      <c r="B14" s="2" t="s">
        <v>69</v>
      </c>
      <c r="C14" s="2" t="s">
        <v>91</v>
      </c>
      <c r="D14" s="2" t="s">
        <v>92</v>
      </c>
      <c r="E14" s="2" t="s">
        <v>71</v>
      </c>
      <c r="F14" s="2" t="s">
        <v>93</v>
      </c>
      <c r="G14" s="2" t="s">
        <v>94</v>
      </c>
      <c r="H14" s="2" t="s">
        <v>95</v>
      </c>
      <c r="I14" s="4" t="s">
        <v>36</v>
      </c>
      <c r="J14" s="2" t="s">
        <v>37</v>
      </c>
      <c r="K14" s="2" t="s">
        <v>74</v>
      </c>
      <c r="L14" s="2" t="s">
        <v>23</v>
      </c>
    </row>
    <row r="15" spans="1:12" ht="38.25" x14ac:dyDescent="0.25">
      <c r="A15" s="2" t="s">
        <v>96</v>
      </c>
      <c r="B15" s="2" t="s">
        <v>69</v>
      </c>
      <c r="C15" s="2" t="s">
        <v>97</v>
      </c>
      <c r="D15" s="2" t="s">
        <v>98</v>
      </c>
      <c r="E15" s="2" t="s">
        <v>71</v>
      </c>
      <c r="F15" s="2" t="s">
        <v>99</v>
      </c>
      <c r="G15" s="2" t="s">
        <v>100</v>
      </c>
      <c r="H15" s="2" t="s">
        <v>101</v>
      </c>
      <c r="I15" s="3" t="s">
        <v>20</v>
      </c>
      <c r="J15" s="2" t="s">
        <v>48</v>
      </c>
      <c r="K15" s="2" t="s">
        <v>74</v>
      </c>
      <c r="L15" s="2" t="s">
        <v>23</v>
      </c>
    </row>
    <row r="16" spans="1:12" ht="38.25" x14ac:dyDescent="0.25">
      <c r="A16" s="2" t="s">
        <v>102</v>
      </c>
      <c r="B16" s="2" t="s">
        <v>69</v>
      </c>
      <c r="C16" s="2" t="s">
        <v>103</v>
      </c>
      <c r="D16" s="2" t="s">
        <v>98</v>
      </c>
      <c r="E16" s="2" t="s">
        <v>71</v>
      </c>
      <c r="F16" s="2" t="s">
        <v>104</v>
      </c>
      <c r="G16" s="2" t="s">
        <v>105</v>
      </c>
      <c r="H16" s="2" t="s">
        <v>106</v>
      </c>
      <c r="I16" s="4" t="s">
        <v>36</v>
      </c>
      <c r="J16" s="2" t="s">
        <v>37</v>
      </c>
      <c r="K16" s="2" t="s">
        <v>74</v>
      </c>
      <c r="L16" s="2" t="s">
        <v>23</v>
      </c>
    </row>
    <row r="17" spans="1:12" ht="25.5" x14ac:dyDescent="0.25">
      <c r="A17" s="2" t="s">
        <v>107</v>
      </c>
      <c r="B17" s="2" t="s">
        <v>69</v>
      </c>
      <c r="C17" s="2" t="s">
        <v>108</v>
      </c>
      <c r="D17" s="2" t="s">
        <v>109</v>
      </c>
      <c r="E17" s="2" t="s">
        <v>71</v>
      </c>
      <c r="F17" s="2" t="s">
        <v>110</v>
      </c>
      <c r="G17" s="2" t="s">
        <v>111</v>
      </c>
      <c r="H17" s="2" t="s">
        <v>112</v>
      </c>
      <c r="I17" s="5" t="s">
        <v>53</v>
      </c>
      <c r="J17" s="2" t="s">
        <v>54</v>
      </c>
      <c r="K17" s="2" t="s">
        <v>74</v>
      </c>
      <c r="L17" s="2" t="s">
        <v>23</v>
      </c>
    </row>
    <row r="18" spans="1:12" ht="51" x14ac:dyDescent="0.25">
      <c r="A18" s="2" t="s">
        <v>113</v>
      </c>
      <c r="B18" s="2" t="s">
        <v>69</v>
      </c>
      <c r="C18" s="2" t="s">
        <v>114</v>
      </c>
      <c r="D18" s="2" t="s">
        <v>15</v>
      </c>
      <c r="E18" s="2" t="s">
        <v>71</v>
      </c>
      <c r="F18" s="2" t="s">
        <v>115</v>
      </c>
      <c r="G18" s="2" t="s">
        <v>116</v>
      </c>
      <c r="H18" s="2" t="s">
        <v>117</v>
      </c>
      <c r="I18" s="4" t="s">
        <v>36</v>
      </c>
      <c r="J18" s="2" t="s">
        <v>37</v>
      </c>
      <c r="K18" s="2" t="s">
        <v>74</v>
      </c>
      <c r="L18" s="2" t="s">
        <v>23</v>
      </c>
    </row>
    <row r="19" spans="1:12" ht="51" x14ac:dyDescent="0.25">
      <c r="A19" s="2" t="s">
        <v>118</v>
      </c>
      <c r="B19" s="2" t="s">
        <v>119</v>
      </c>
      <c r="C19" s="2" t="s">
        <v>120</v>
      </c>
      <c r="D19" s="2" t="s">
        <v>15</v>
      </c>
      <c r="E19" s="2" t="s">
        <v>71</v>
      </c>
      <c r="F19" s="2" t="s">
        <v>77</v>
      </c>
      <c r="G19" s="2" t="s">
        <v>121</v>
      </c>
      <c r="H19" s="2" t="s">
        <v>122</v>
      </c>
      <c r="I19" s="6" t="s">
        <v>59</v>
      </c>
      <c r="J19" s="2" t="s">
        <v>54</v>
      </c>
      <c r="K19" s="2" t="s">
        <v>123</v>
      </c>
      <c r="L19" s="2" t="s">
        <v>23</v>
      </c>
    </row>
    <row r="20" spans="1:12" ht="25.5" x14ac:dyDescent="0.25">
      <c r="A20" s="2" t="s">
        <v>124</v>
      </c>
      <c r="B20" s="2" t="s">
        <v>119</v>
      </c>
      <c r="C20" s="2" t="s">
        <v>125</v>
      </c>
      <c r="D20" s="2" t="s">
        <v>15</v>
      </c>
      <c r="E20" s="2" t="s">
        <v>71</v>
      </c>
      <c r="F20" s="2" t="s">
        <v>77</v>
      </c>
      <c r="G20" s="2" t="s">
        <v>126</v>
      </c>
      <c r="H20" s="2" t="s">
        <v>127</v>
      </c>
      <c r="I20" s="4" t="s">
        <v>36</v>
      </c>
      <c r="J20" s="2" t="s">
        <v>37</v>
      </c>
      <c r="K20" s="2" t="s">
        <v>123</v>
      </c>
      <c r="L20" s="2" t="s">
        <v>23</v>
      </c>
    </row>
    <row r="21" spans="1:12" ht="25.5" x14ac:dyDescent="0.25">
      <c r="A21" s="2" t="s">
        <v>128</v>
      </c>
      <c r="B21" s="2" t="s">
        <v>119</v>
      </c>
      <c r="C21" s="2" t="s">
        <v>129</v>
      </c>
      <c r="D21" s="2" t="s">
        <v>15</v>
      </c>
      <c r="E21" s="2" t="s">
        <v>71</v>
      </c>
      <c r="F21" s="2" t="s">
        <v>77</v>
      </c>
      <c r="G21" s="2" t="s">
        <v>130</v>
      </c>
      <c r="H21" s="2" t="s">
        <v>131</v>
      </c>
      <c r="I21" s="6" t="s">
        <v>59</v>
      </c>
      <c r="J21" s="2" t="s">
        <v>54</v>
      </c>
      <c r="K21" s="2" t="s">
        <v>123</v>
      </c>
      <c r="L21" s="2" t="s">
        <v>23</v>
      </c>
    </row>
    <row r="22" spans="1:12" ht="51" x14ac:dyDescent="0.25">
      <c r="A22" s="2" t="s">
        <v>132</v>
      </c>
      <c r="B22" s="2" t="s">
        <v>119</v>
      </c>
      <c r="C22" s="2" t="s">
        <v>133</v>
      </c>
      <c r="D22" s="2" t="s">
        <v>15</v>
      </c>
      <c r="E22" s="2" t="s">
        <v>71</v>
      </c>
      <c r="F22" s="2" t="s">
        <v>77</v>
      </c>
      <c r="G22" s="2" t="s">
        <v>134</v>
      </c>
      <c r="H22" s="2" t="s">
        <v>135</v>
      </c>
      <c r="I22" s="4" t="s">
        <v>36</v>
      </c>
      <c r="J22" s="2" t="s">
        <v>37</v>
      </c>
      <c r="K22" s="2" t="s">
        <v>123</v>
      </c>
      <c r="L22" s="2" t="s">
        <v>23</v>
      </c>
    </row>
    <row r="23" spans="1:12" ht="38.25" x14ac:dyDescent="0.25">
      <c r="A23" s="2" t="s">
        <v>136</v>
      </c>
      <c r="B23" s="2" t="s">
        <v>119</v>
      </c>
      <c r="C23" s="2" t="s">
        <v>137</v>
      </c>
      <c r="D23" s="2" t="s">
        <v>15</v>
      </c>
      <c r="E23" s="2" t="s">
        <v>71</v>
      </c>
      <c r="F23" s="2" t="s">
        <v>138</v>
      </c>
      <c r="G23" s="2" t="s">
        <v>139</v>
      </c>
      <c r="H23" s="2" t="s">
        <v>140</v>
      </c>
      <c r="I23" s="4" t="s">
        <v>36</v>
      </c>
      <c r="J23" s="2" t="s">
        <v>37</v>
      </c>
      <c r="K23" s="2" t="s">
        <v>123</v>
      </c>
      <c r="L23" s="2" t="s">
        <v>23</v>
      </c>
    </row>
    <row r="24" spans="1:12" ht="38.25" x14ac:dyDescent="0.25">
      <c r="A24" s="2" t="s">
        <v>141</v>
      </c>
      <c r="B24" s="2" t="s">
        <v>119</v>
      </c>
      <c r="C24" s="2" t="s">
        <v>142</v>
      </c>
      <c r="D24" s="2" t="s">
        <v>15</v>
      </c>
      <c r="E24" s="2" t="s">
        <v>16</v>
      </c>
      <c r="F24" s="2" t="s">
        <v>17</v>
      </c>
      <c r="G24" s="2" t="s">
        <v>143</v>
      </c>
      <c r="H24" s="2" t="s">
        <v>144</v>
      </c>
      <c r="I24" s="5" t="s">
        <v>53</v>
      </c>
      <c r="J24" s="2" t="s">
        <v>54</v>
      </c>
      <c r="K24" s="2" t="s">
        <v>123</v>
      </c>
      <c r="L24" s="2" t="s">
        <v>23</v>
      </c>
    </row>
    <row r="25" spans="1:12" ht="38.25" x14ac:dyDescent="0.25">
      <c r="A25" s="2" t="s">
        <v>145</v>
      </c>
      <c r="B25" s="2" t="s">
        <v>146</v>
      </c>
      <c r="C25" s="2" t="s">
        <v>147</v>
      </c>
      <c r="D25" s="2" t="s">
        <v>15</v>
      </c>
      <c r="E25" s="2" t="s">
        <v>71</v>
      </c>
      <c r="F25" s="2" t="s">
        <v>17</v>
      </c>
      <c r="G25" s="2" t="s">
        <v>148</v>
      </c>
      <c r="H25" s="2" t="s">
        <v>149</v>
      </c>
      <c r="I25" s="6" t="s">
        <v>59</v>
      </c>
      <c r="J25" s="2" t="s">
        <v>54</v>
      </c>
      <c r="K25" s="2" t="s">
        <v>150</v>
      </c>
      <c r="L25" s="2" t="s">
        <v>23</v>
      </c>
    </row>
    <row r="26" spans="1:12" ht="38.25" x14ac:dyDescent="0.25">
      <c r="A26" s="2" t="s">
        <v>151</v>
      </c>
      <c r="B26" s="2" t="s">
        <v>146</v>
      </c>
      <c r="C26" s="2" t="s">
        <v>152</v>
      </c>
      <c r="D26" s="2" t="s">
        <v>15</v>
      </c>
      <c r="E26" s="2" t="s">
        <v>153</v>
      </c>
      <c r="F26" s="2" t="s">
        <v>17</v>
      </c>
      <c r="G26" s="2" t="s">
        <v>154</v>
      </c>
      <c r="H26" s="2" t="s">
        <v>155</v>
      </c>
      <c r="I26" s="6" t="s">
        <v>59</v>
      </c>
      <c r="J26" s="2" t="s">
        <v>54</v>
      </c>
      <c r="K26" s="2" t="s">
        <v>150</v>
      </c>
      <c r="L26" s="2" t="s">
        <v>23</v>
      </c>
    </row>
    <row r="27" spans="1:12" ht="25.5" x14ac:dyDescent="0.25">
      <c r="A27" s="2" t="s">
        <v>156</v>
      </c>
      <c r="B27" s="2" t="s">
        <v>146</v>
      </c>
      <c r="C27" s="2" t="s">
        <v>157</v>
      </c>
      <c r="D27" s="2" t="s">
        <v>15</v>
      </c>
      <c r="E27" s="2" t="s">
        <v>71</v>
      </c>
      <c r="F27" s="2" t="s">
        <v>158</v>
      </c>
      <c r="G27" s="2" t="s">
        <v>159</v>
      </c>
      <c r="H27" s="2" t="s">
        <v>160</v>
      </c>
      <c r="I27" s="5" t="s">
        <v>53</v>
      </c>
      <c r="J27" s="2" t="s">
        <v>54</v>
      </c>
      <c r="K27" s="2" t="s">
        <v>150</v>
      </c>
      <c r="L27" s="2" t="s">
        <v>23</v>
      </c>
    </row>
    <row r="28" spans="1:12" ht="25.5" x14ac:dyDescent="0.25">
      <c r="A28" s="2" t="s">
        <v>161</v>
      </c>
      <c r="B28" s="2" t="s">
        <v>146</v>
      </c>
      <c r="C28" s="2" t="s">
        <v>162</v>
      </c>
      <c r="D28" s="2" t="s">
        <v>15</v>
      </c>
      <c r="E28" s="2" t="s">
        <v>71</v>
      </c>
      <c r="F28" s="2" t="s">
        <v>158</v>
      </c>
      <c r="G28" s="2" t="s">
        <v>163</v>
      </c>
      <c r="H28" s="2" t="s">
        <v>164</v>
      </c>
      <c r="I28" s="5" t="s">
        <v>53</v>
      </c>
      <c r="J28" s="2" t="s">
        <v>54</v>
      </c>
      <c r="K28" s="2" t="s">
        <v>150</v>
      </c>
      <c r="L28" s="2" t="s">
        <v>23</v>
      </c>
    </row>
    <row r="29" spans="1:12" ht="25.5" x14ac:dyDescent="0.25">
      <c r="A29" s="2" t="s">
        <v>165</v>
      </c>
      <c r="B29" s="2" t="s">
        <v>146</v>
      </c>
      <c r="C29" s="2" t="s">
        <v>166</v>
      </c>
      <c r="D29" s="2" t="s">
        <v>15</v>
      </c>
      <c r="E29" s="2" t="s">
        <v>16</v>
      </c>
      <c r="F29" s="2" t="s">
        <v>167</v>
      </c>
      <c r="G29" s="2" t="s">
        <v>168</v>
      </c>
      <c r="H29" s="2" t="s">
        <v>169</v>
      </c>
      <c r="I29" s="6" t="s">
        <v>59</v>
      </c>
      <c r="J29" s="2" t="s">
        <v>54</v>
      </c>
      <c r="K29" s="2" t="s">
        <v>150</v>
      </c>
      <c r="L29" s="2" t="s">
        <v>23</v>
      </c>
    </row>
    <row r="30" spans="1:12" ht="51" x14ac:dyDescent="0.25">
      <c r="A30" s="2" t="s">
        <v>170</v>
      </c>
      <c r="B30" s="2" t="s">
        <v>171</v>
      </c>
      <c r="C30" s="2" t="s">
        <v>172</v>
      </c>
      <c r="D30" s="2" t="s">
        <v>15</v>
      </c>
      <c r="E30" s="2" t="s">
        <v>71</v>
      </c>
      <c r="F30" s="2" t="s">
        <v>173</v>
      </c>
      <c r="G30" s="2" t="s">
        <v>174</v>
      </c>
      <c r="H30" s="2" t="s">
        <v>175</v>
      </c>
      <c r="I30" s="4" t="s">
        <v>36</v>
      </c>
      <c r="J30" s="2" t="s">
        <v>37</v>
      </c>
      <c r="K30" s="2" t="s">
        <v>176</v>
      </c>
      <c r="L30" s="2" t="s">
        <v>23</v>
      </c>
    </row>
    <row r="31" spans="1:12" ht="38.25" x14ac:dyDescent="0.25">
      <c r="A31" s="2" t="s">
        <v>177</v>
      </c>
      <c r="B31" s="2" t="s">
        <v>171</v>
      </c>
      <c r="C31" s="2" t="s">
        <v>178</v>
      </c>
      <c r="D31" s="2" t="s">
        <v>15</v>
      </c>
      <c r="E31" s="2" t="s">
        <v>71</v>
      </c>
      <c r="F31" s="2" t="s">
        <v>179</v>
      </c>
      <c r="G31" s="2" t="s">
        <v>180</v>
      </c>
      <c r="H31" s="2" t="s">
        <v>181</v>
      </c>
      <c r="I31" s="4" t="s">
        <v>36</v>
      </c>
      <c r="J31" s="2" t="s">
        <v>37</v>
      </c>
      <c r="K31" s="2" t="s">
        <v>176</v>
      </c>
      <c r="L31" s="2" t="s">
        <v>23</v>
      </c>
    </row>
    <row r="32" spans="1:12" ht="51" x14ac:dyDescent="0.25">
      <c r="A32" s="2" t="s">
        <v>182</v>
      </c>
      <c r="B32" s="2" t="s">
        <v>171</v>
      </c>
      <c r="C32" s="2" t="s">
        <v>183</v>
      </c>
      <c r="D32" s="2" t="s">
        <v>98</v>
      </c>
      <c r="E32" s="2" t="s">
        <v>71</v>
      </c>
      <c r="F32" s="2" t="s">
        <v>184</v>
      </c>
      <c r="G32" s="2" t="s">
        <v>185</v>
      </c>
      <c r="H32" s="2" t="s">
        <v>186</v>
      </c>
      <c r="I32" s="4" t="s">
        <v>36</v>
      </c>
      <c r="J32" s="2" t="s">
        <v>37</v>
      </c>
      <c r="K32" s="2" t="s">
        <v>176</v>
      </c>
      <c r="L32" s="2" t="s">
        <v>23</v>
      </c>
    </row>
    <row r="33" spans="1:12" ht="51" x14ac:dyDescent="0.25">
      <c r="A33" s="2" t="s">
        <v>187</v>
      </c>
      <c r="B33" s="2" t="s">
        <v>171</v>
      </c>
      <c r="C33" s="2" t="s">
        <v>188</v>
      </c>
      <c r="D33" s="2" t="s">
        <v>98</v>
      </c>
      <c r="E33" s="2" t="s">
        <v>71</v>
      </c>
      <c r="F33" s="2" t="s">
        <v>189</v>
      </c>
      <c r="G33" s="2" t="s">
        <v>190</v>
      </c>
      <c r="H33" s="2" t="s">
        <v>191</v>
      </c>
      <c r="I33" s="4" t="s">
        <v>36</v>
      </c>
      <c r="J33" s="2" t="s">
        <v>37</v>
      </c>
      <c r="K33" s="2" t="s">
        <v>176</v>
      </c>
      <c r="L33" s="2" t="s">
        <v>23</v>
      </c>
    </row>
    <row r="34" spans="1:12" ht="38.25" x14ac:dyDescent="0.25">
      <c r="A34" s="2" t="s">
        <v>192</v>
      </c>
      <c r="B34" s="2" t="s">
        <v>171</v>
      </c>
      <c r="C34" s="2" t="s">
        <v>193</v>
      </c>
      <c r="D34" s="2" t="s">
        <v>98</v>
      </c>
      <c r="E34" s="2" t="s">
        <v>71</v>
      </c>
      <c r="F34" s="2" t="s">
        <v>194</v>
      </c>
      <c r="G34" s="2" t="s">
        <v>195</v>
      </c>
      <c r="H34" s="2" t="s">
        <v>196</v>
      </c>
      <c r="I34" s="3" t="s">
        <v>20</v>
      </c>
      <c r="J34" s="2" t="s">
        <v>48</v>
      </c>
      <c r="K34" s="2" t="s">
        <v>176</v>
      </c>
      <c r="L34" s="2" t="s">
        <v>23</v>
      </c>
    </row>
    <row r="35" spans="1:12" ht="38.25" x14ac:dyDescent="0.25">
      <c r="A35" s="2" t="s">
        <v>197</v>
      </c>
      <c r="B35" s="2" t="s">
        <v>171</v>
      </c>
      <c r="C35" s="2" t="s">
        <v>198</v>
      </c>
      <c r="D35" s="2" t="s">
        <v>92</v>
      </c>
      <c r="E35" s="2" t="s">
        <v>71</v>
      </c>
      <c r="F35" s="2" t="s">
        <v>199</v>
      </c>
      <c r="G35" s="2" t="s">
        <v>200</v>
      </c>
      <c r="H35" s="2" t="s">
        <v>201</v>
      </c>
      <c r="I35" s="4" t="s">
        <v>36</v>
      </c>
      <c r="J35" s="2" t="s">
        <v>37</v>
      </c>
      <c r="K35" s="2" t="s">
        <v>176</v>
      </c>
      <c r="L35" s="2" t="s">
        <v>23</v>
      </c>
    </row>
    <row r="36" spans="1:12" ht="38.25" x14ac:dyDescent="0.25">
      <c r="A36" s="2" t="s">
        <v>202</v>
      </c>
      <c r="B36" s="2" t="s">
        <v>171</v>
      </c>
      <c r="C36" s="2" t="s">
        <v>203</v>
      </c>
      <c r="D36" s="2" t="s">
        <v>15</v>
      </c>
      <c r="E36" s="2" t="s">
        <v>204</v>
      </c>
      <c r="F36" s="2" t="s">
        <v>205</v>
      </c>
      <c r="G36" s="2" t="s">
        <v>206</v>
      </c>
      <c r="H36" s="2" t="s">
        <v>207</v>
      </c>
      <c r="I36" s="6" t="s">
        <v>59</v>
      </c>
      <c r="J36" s="2" t="s">
        <v>54</v>
      </c>
      <c r="K36" s="2" t="s">
        <v>176</v>
      </c>
      <c r="L36" s="2" t="s">
        <v>23</v>
      </c>
    </row>
    <row r="37" spans="1:12" ht="51" x14ac:dyDescent="0.25">
      <c r="A37" s="2" t="s">
        <v>208</v>
      </c>
      <c r="B37" s="2" t="s">
        <v>209</v>
      </c>
      <c r="C37" s="2" t="s">
        <v>210</v>
      </c>
      <c r="D37" s="2" t="s">
        <v>15</v>
      </c>
      <c r="E37" s="2" t="s">
        <v>71</v>
      </c>
      <c r="F37" s="2" t="s">
        <v>211</v>
      </c>
      <c r="G37" s="2" t="s">
        <v>212</v>
      </c>
      <c r="H37" s="2" t="s">
        <v>213</v>
      </c>
      <c r="I37" s="4" t="s">
        <v>214</v>
      </c>
      <c r="J37" s="2" t="s">
        <v>215</v>
      </c>
      <c r="K37" s="2" t="s">
        <v>216</v>
      </c>
      <c r="L37" s="2" t="s">
        <v>23</v>
      </c>
    </row>
    <row r="38" spans="1:12" ht="25.5" x14ac:dyDescent="0.25">
      <c r="A38" s="2" t="s">
        <v>217</v>
      </c>
      <c r="B38" s="2" t="s">
        <v>209</v>
      </c>
      <c r="C38" s="2" t="s">
        <v>218</v>
      </c>
      <c r="D38" s="2" t="s">
        <v>15</v>
      </c>
      <c r="E38" s="2" t="s">
        <v>204</v>
      </c>
      <c r="F38" s="2" t="s">
        <v>219</v>
      </c>
      <c r="G38" s="2" t="s">
        <v>220</v>
      </c>
      <c r="H38" s="2" t="s">
        <v>213</v>
      </c>
      <c r="I38" s="6" t="s">
        <v>59</v>
      </c>
      <c r="J38" s="2" t="s">
        <v>54</v>
      </c>
      <c r="K38" s="2" t="s">
        <v>216</v>
      </c>
      <c r="L38" s="2" t="s">
        <v>23</v>
      </c>
    </row>
    <row r="39" spans="1:12" ht="38.25" x14ac:dyDescent="0.25">
      <c r="A39" s="2" t="s">
        <v>221</v>
      </c>
      <c r="B39" s="2" t="s">
        <v>209</v>
      </c>
      <c r="C39" s="2" t="s">
        <v>222</v>
      </c>
      <c r="D39" s="2" t="s">
        <v>15</v>
      </c>
      <c r="E39" s="2" t="s">
        <v>71</v>
      </c>
      <c r="F39" s="2" t="s">
        <v>223</v>
      </c>
      <c r="G39" s="2" t="s">
        <v>224</v>
      </c>
      <c r="H39" s="2" t="s">
        <v>225</v>
      </c>
      <c r="I39" s="4" t="s">
        <v>36</v>
      </c>
      <c r="J39" s="2" t="s">
        <v>37</v>
      </c>
      <c r="K39" s="2" t="s">
        <v>216</v>
      </c>
      <c r="L39" s="2" t="s">
        <v>23</v>
      </c>
    </row>
    <row r="40" spans="1:12" ht="38.25" x14ac:dyDescent="0.25">
      <c r="A40" s="2" t="s">
        <v>226</v>
      </c>
      <c r="B40" s="2" t="s">
        <v>209</v>
      </c>
      <c r="C40" s="2" t="s">
        <v>227</v>
      </c>
      <c r="D40" s="2" t="s">
        <v>15</v>
      </c>
      <c r="E40" s="2" t="s">
        <v>153</v>
      </c>
      <c r="F40" s="2" t="s">
        <v>228</v>
      </c>
      <c r="G40" s="2" t="s">
        <v>229</v>
      </c>
      <c r="H40" s="2" t="s">
        <v>230</v>
      </c>
      <c r="I40" s="4" t="s">
        <v>36</v>
      </c>
      <c r="J40" s="2" t="s">
        <v>37</v>
      </c>
      <c r="K40" s="2" t="s">
        <v>216</v>
      </c>
      <c r="L40" s="2" t="s">
        <v>23</v>
      </c>
    </row>
    <row r="41" spans="1:12" ht="38.25" x14ac:dyDescent="0.25">
      <c r="A41" s="2" t="s">
        <v>231</v>
      </c>
      <c r="B41" s="2" t="s">
        <v>209</v>
      </c>
      <c r="C41" s="2" t="s">
        <v>232</v>
      </c>
      <c r="D41" s="2" t="s">
        <v>15</v>
      </c>
      <c r="E41" s="2" t="s">
        <v>153</v>
      </c>
      <c r="F41" s="2" t="s">
        <v>233</v>
      </c>
      <c r="G41" s="2" t="s">
        <v>234</v>
      </c>
      <c r="H41" s="2" t="s">
        <v>235</v>
      </c>
      <c r="I41" s="6" t="s">
        <v>59</v>
      </c>
      <c r="J41" s="2" t="s">
        <v>54</v>
      </c>
      <c r="K41" s="2" t="s">
        <v>216</v>
      </c>
      <c r="L41" s="2" t="s">
        <v>23</v>
      </c>
    </row>
    <row r="42" spans="1:12" ht="38.25" x14ac:dyDescent="0.25">
      <c r="A42" s="2" t="s">
        <v>236</v>
      </c>
      <c r="B42" s="2" t="s">
        <v>209</v>
      </c>
      <c r="C42" s="2" t="s">
        <v>237</v>
      </c>
      <c r="D42" s="2" t="s">
        <v>15</v>
      </c>
      <c r="E42" s="2" t="s">
        <v>71</v>
      </c>
      <c r="F42" s="2" t="s">
        <v>238</v>
      </c>
      <c r="G42" s="2" t="s">
        <v>239</v>
      </c>
      <c r="H42" s="2" t="s">
        <v>240</v>
      </c>
      <c r="I42" s="5" t="s">
        <v>53</v>
      </c>
      <c r="J42" s="2" t="s">
        <v>241</v>
      </c>
      <c r="K42" s="2" t="s">
        <v>216</v>
      </c>
      <c r="L42" s="2" t="s">
        <v>23</v>
      </c>
    </row>
    <row r="43" spans="1:12" ht="51" x14ac:dyDescent="0.25">
      <c r="A43" s="2" t="s">
        <v>242</v>
      </c>
      <c r="B43" s="2" t="s">
        <v>209</v>
      </c>
      <c r="C43" s="2" t="s">
        <v>243</v>
      </c>
      <c r="D43" s="2" t="s">
        <v>15</v>
      </c>
      <c r="E43" s="2" t="s">
        <v>71</v>
      </c>
      <c r="F43" s="2" t="s">
        <v>244</v>
      </c>
      <c r="G43" s="2" t="s">
        <v>245</v>
      </c>
      <c r="H43" s="2" t="s">
        <v>246</v>
      </c>
      <c r="I43" s="6" t="s">
        <v>59</v>
      </c>
      <c r="J43" s="2" t="s">
        <v>54</v>
      </c>
      <c r="K43" s="2" t="s">
        <v>216</v>
      </c>
      <c r="L43" s="2" t="s">
        <v>23</v>
      </c>
    </row>
    <row r="44" spans="1:12" ht="25.5" x14ac:dyDescent="0.25">
      <c r="A44" s="2" t="s">
        <v>247</v>
      </c>
      <c r="B44" s="2" t="s">
        <v>209</v>
      </c>
      <c r="C44" s="2" t="s">
        <v>248</v>
      </c>
      <c r="D44" s="2" t="s">
        <v>15</v>
      </c>
      <c r="E44" s="2" t="s">
        <v>71</v>
      </c>
      <c r="F44" s="2" t="s">
        <v>249</v>
      </c>
      <c r="G44" s="2" t="s">
        <v>250</v>
      </c>
      <c r="H44" s="2" t="s">
        <v>251</v>
      </c>
      <c r="I44" s="4" t="s">
        <v>36</v>
      </c>
      <c r="J44" s="2" t="s">
        <v>37</v>
      </c>
      <c r="K44" s="2" t="s">
        <v>216</v>
      </c>
      <c r="L44" s="2" t="s">
        <v>23</v>
      </c>
    </row>
  </sheetData>
  <autoFilter ref="A1:L44" xr:uid="{00000000-0009-0000-0000-000000000000}"/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6" customWidth="1"/>
    <col min="2" max="2" width="28" customWidth="1"/>
    <col min="3" max="3" width="24" customWidth="1"/>
    <col min="4" max="5" width="60" customWidth="1"/>
    <col min="6" max="6" width="40" customWidth="1"/>
  </cols>
  <sheetData>
    <row r="1" spans="1:6" x14ac:dyDescent="0.25">
      <c r="A1" s="1" t="s">
        <v>252</v>
      </c>
      <c r="B1" s="1" t="s">
        <v>253</v>
      </c>
      <c r="C1" s="1" t="s">
        <v>254</v>
      </c>
      <c r="D1" s="1" t="s">
        <v>255</v>
      </c>
      <c r="E1" s="1" t="s">
        <v>256</v>
      </c>
      <c r="F1" s="1" t="s">
        <v>257</v>
      </c>
    </row>
    <row r="2" spans="1:6" ht="25.5" x14ac:dyDescent="0.25">
      <c r="A2" s="2" t="s">
        <v>258</v>
      </c>
      <c r="B2" s="2" t="s">
        <v>259</v>
      </c>
      <c r="C2" s="2" t="s">
        <v>260</v>
      </c>
      <c r="D2" s="2" t="s">
        <v>261</v>
      </c>
      <c r="E2" s="2" t="s">
        <v>262</v>
      </c>
      <c r="F2" s="2" t="s">
        <v>263</v>
      </c>
    </row>
    <row r="3" spans="1:6" ht="51" x14ac:dyDescent="0.25">
      <c r="A3" s="2" t="s">
        <v>98</v>
      </c>
      <c r="B3" s="2" t="s">
        <v>264</v>
      </c>
      <c r="C3" s="2" t="s">
        <v>265</v>
      </c>
      <c r="D3" s="2" t="s">
        <v>266</v>
      </c>
      <c r="E3" s="2" t="s">
        <v>267</v>
      </c>
      <c r="F3" s="2" t="s">
        <v>268</v>
      </c>
    </row>
    <row r="4" spans="1:6" ht="25.5" x14ac:dyDescent="0.25">
      <c r="A4" s="2" t="s">
        <v>269</v>
      </c>
      <c r="B4" s="2" t="s">
        <v>270</v>
      </c>
      <c r="C4" s="2" t="s">
        <v>271</v>
      </c>
      <c r="D4" s="2" t="s">
        <v>272</v>
      </c>
      <c r="E4" s="2" t="s">
        <v>273</v>
      </c>
      <c r="F4" s="2" t="s">
        <v>274</v>
      </c>
    </row>
    <row r="5" spans="1:6" ht="25.5" x14ac:dyDescent="0.25">
      <c r="A5" s="2" t="s">
        <v>275</v>
      </c>
      <c r="B5" s="2" t="s">
        <v>276</v>
      </c>
      <c r="C5" s="2" t="s">
        <v>277</v>
      </c>
      <c r="D5" s="2" t="s">
        <v>278</v>
      </c>
      <c r="E5" s="2" t="s">
        <v>279</v>
      </c>
      <c r="F5" s="2" t="s">
        <v>280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2"/>
  <sheetViews>
    <sheetView workbookViewId="0"/>
  </sheetViews>
  <sheetFormatPr defaultRowHeight="15" x14ac:dyDescent="0.25"/>
  <cols>
    <col min="1" max="1" width="20" customWidth="1"/>
    <col min="2" max="2" width="12" customWidth="1"/>
    <col min="3" max="6" width="10" customWidth="1"/>
  </cols>
  <sheetData>
    <row r="1" spans="1:6" x14ac:dyDescent="0.25">
      <c r="A1" s="7" t="s">
        <v>1</v>
      </c>
      <c r="B1" s="7" t="s">
        <v>281</v>
      </c>
      <c r="C1" s="7" t="s">
        <v>20</v>
      </c>
      <c r="D1" s="7" t="s">
        <v>36</v>
      </c>
      <c r="E1" s="7" t="s">
        <v>59</v>
      </c>
      <c r="F1" s="7" t="s">
        <v>53</v>
      </c>
    </row>
    <row r="2" spans="1:6" x14ac:dyDescent="0.25">
      <c r="A2" s="8" t="s">
        <v>13</v>
      </c>
      <c r="B2" s="8">
        <f>COUNTIF('Test Cases'!$B$2:$B$44,A2)</f>
        <v>8</v>
      </c>
      <c r="C2" s="8">
        <f>COUNTIFS('Test Cases'!$B$2:$B$44,A2,'Test Cases'!$I$2:$I$44,"Critical*")</f>
        <v>4</v>
      </c>
      <c r="D2" s="8">
        <f>COUNTIFS('Test Cases'!$B$2:$B$44,A2,'Test Cases'!$I$2:$I$44,"High*")</f>
        <v>2</v>
      </c>
      <c r="E2" s="8">
        <f>COUNTIFS('Test Cases'!$B$2:$B$44,A2,'Test Cases'!$I$2:$I$44,"Medium*")</f>
        <v>1</v>
      </c>
      <c r="F2" s="8">
        <f>COUNTIFS('Test Cases'!$B$2:$B$44,A2,'Test Cases'!$I$2:$I$44,"Low*")</f>
        <v>1</v>
      </c>
    </row>
    <row r="3" spans="1:6" x14ac:dyDescent="0.25">
      <c r="A3" s="8" t="s">
        <v>69</v>
      </c>
      <c r="B3" s="8">
        <f>COUNTIF('Test Cases'!$B$2:$B$44,A3)</f>
        <v>9</v>
      </c>
      <c r="C3" s="8">
        <f>COUNTIFS('Test Cases'!$B$2:$B$44,A3,'Test Cases'!$I$2:$I$44,"Critical*")</f>
        <v>1</v>
      </c>
      <c r="D3" s="8">
        <f>COUNTIFS('Test Cases'!$B$2:$B$44,A3,'Test Cases'!$I$2:$I$44,"High*")</f>
        <v>6</v>
      </c>
      <c r="E3" s="8">
        <f>COUNTIFS('Test Cases'!$B$2:$B$44,A3,'Test Cases'!$I$2:$I$44,"Medium*")</f>
        <v>1</v>
      </c>
      <c r="F3" s="8">
        <f>COUNTIFS('Test Cases'!$B$2:$B$44,A3,'Test Cases'!$I$2:$I$44,"Low*")</f>
        <v>1</v>
      </c>
    </row>
    <row r="4" spans="1:6" x14ac:dyDescent="0.25">
      <c r="A4" s="8" t="s">
        <v>119</v>
      </c>
      <c r="B4" s="8">
        <f>COUNTIF('Test Cases'!$B$2:$B$44,A4)</f>
        <v>6</v>
      </c>
      <c r="C4" s="8">
        <f>COUNTIFS('Test Cases'!$B$2:$B$44,A4,'Test Cases'!$I$2:$I$44,"Critical*")</f>
        <v>0</v>
      </c>
      <c r="D4" s="8">
        <f>COUNTIFS('Test Cases'!$B$2:$B$44,A4,'Test Cases'!$I$2:$I$44,"High*")</f>
        <v>3</v>
      </c>
      <c r="E4" s="8">
        <f>COUNTIFS('Test Cases'!$B$2:$B$44,A4,'Test Cases'!$I$2:$I$44,"Medium*")</f>
        <v>2</v>
      </c>
      <c r="F4" s="8">
        <f>COUNTIFS('Test Cases'!$B$2:$B$44,A4,'Test Cases'!$I$2:$I$44,"Low*")</f>
        <v>1</v>
      </c>
    </row>
    <row r="5" spans="1:6" x14ac:dyDescent="0.25">
      <c r="A5" s="8" t="s">
        <v>146</v>
      </c>
      <c r="B5" s="8">
        <f>COUNTIF('Test Cases'!$B$2:$B$44,A5)</f>
        <v>5</v>
      </c>
      <c r="C5" s="8">
        <f>COUNTIFS('Test Cases'!$B$2:$B$44,A5,'Test Cases'!$I$2:$I$44,"Critical*")</f>
        <v>0</v>
      </c>
      <c r="D5" s="8">
        <f>COUNTIFS('Test Cases'!$B$2:$B$44,A5,'Test Cases'!$I$2:$I$44,"High*")</f>
        <v>0</v>
      </c>
      <c r="E5" s="8">
        <f>COUNTIFS('Test Cases'!$B$2:$B$44,A5,'Test Cases'!$I$2:$I$44,"Medium*")</f>
        <v>3</v>
      </c>
      <c r="F5" s="8">
        <f>COUNTIFS('Test Cases'!$B$2:$B$44,A5,'Test Cases'!$I$2:$I$44,"Low*")</f>
        <v>2</v>
      </c>
    </row>
    <row r="6" spans="1:6" x14ac:dyDescent="0.25">
      <c r="A6" s="8" t="s">
        <v>171</v>
      </c>
      <c r="B6" s="8">
        <f>COUNTIF('Test Cases'!$B$2:$B$44,A6)</f>
        <v>7</v>
      </c>
      <c r="C6" s="8">
        <f>COUNTIFS('Test Cases'!$B$2:$B$44,A6,'Test Cases'!$I$2:$I$44,"Critical*")</f>
        <v>1</v>
      </c>
      <c r="D6" s="8">
        <f>COUNTIFS('Test Cases'!$B$2:$B$44,A6,'Test Cases'!$I$2:$I$44,"High*")</f>
        <v>5</v>
      </c>
      <c r="E6" s="8">
        <f>COUNTIFS('Test Cases'!$B$2:$B$44,A6,'Test Cases'!$I$2:$I$44,"Medium*")</f>
        <v>1</v>
      </c>
      <c r="F6" s="8">
        <f>COUNTIFS('Test Cases'!$B$2:$B$44,A6,'Test Cases'!$I$2:$I$44,"Low*")</f>
        <v>0</v>
      </c>
    </row>
    <row r="7" spans="1:6" x14ac:dyDescent="0.25">
      <c r="A7" s="8" t="s">
        <v>209</v>
      </c>
      <c r="B7" s="8">
        <f>COUNTIF('Test Cases'!$B$2:$B$44,A7)</f>
        <v>8</v>
      </c>
      <c r="C7" s="8">
        <f>COUNTIFS('Test Cases'!$B$2:$B$44,A7,'Test Cases'!$I$2:$I$44,"Critical*")</f>
        <v>0</v>
      </c>
      <c r="D7" s="8">
        <f>COUNTIFS('Test Cases'!$B$2:$B$44,A7,'Test Cases'!$I$2:$I$44,"High*")</f>
        <v>4</v>
      </c>
      <c r="E7" s="8">
        <f>COUNTIFS('Test Cases'!$B$2:$B$44,A7,'Test Cases'!$I$2:$I$44,"Medium*")</f>
        <v>3</v>
      </c>
      <c r="F7" s="8">
        <f>COUNTIFS('Test Cases'!$B$2:$B$44,A7,'Test Cases'!$I$2:$I$44,"Low*")</f>
        <v>1</v>
      </c>
    </row>
    <row r="8" spans="1:6" x14ac:dyDescent="0.25">
      <c r="A8" s="9" t="s">
        <v>282</v>
      </c>
      <c r="B8" s="9">
        <f>SUM(B2:B7)</f>
        <v>43</v>
      </c>
      <c r="C8" s="9">
        <f>SUM(C2:C7)</f>
        <v>6</v>
      </c>
      <c r="D8" s="9">
        <f>SUM(D2:D7)</f>
        <v>20</v>
      </c>
      <c r="E8" s="9">
        <f>SUM(E2:E7)</f>
        <v>11</v>
      </c>
      <c r="F8" s="9">
        <f>SUM(F2:F7)</f>
        <v>6</v>
      </c>
    </row>
    <row r="10" spans="1:6" x14ac:dyDescent="0.25">
      <c r="A10" s="10" t="s">
        <v>283</v>
      </c>
    </row>
    <row r="11" spans="1:6" x14ac:dyDescent="0.25">
      <c r="A11" s="10" t="s">
        <v>284</v>
      </c>
    </row>
    <row r="12" spans="1:6" x14ac:dyDescent="0.25">
      <c r="A12" s="10" t="s">
        <v>285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 Cases</vt:lpstr>
      <vt:lpstr>Site Coverage</vt:lpstr>
      <vt:lpstr>Summary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2026-09-30T10:04:16Z</dcterms:created>
  <dcterms:modified xsi:type="dcterms:W3CDTF">2026-09-30T10:05:21Z</dcterms:modified>
  <cp:category/>
</cp:coreProperties>
</file>